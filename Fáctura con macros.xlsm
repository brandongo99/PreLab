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DINEZ\Downloads\"/>
    </mc:Choice>
  </mc:AlternateContent>
  <bookViews>
    <workbookView xWindow="0" yWindow="0" windowWidth="15345" windowHeight="4590"/>
  </bookViews>
  <sheets>
    <sheet name="Registrar" sheetId="1" r:id="rId1"/>
    <sheet name="Factura" sheetId="4" r:id="rId2"/>
    <sheet name="Precios" sheetId="2" r:id="rId3"/>
    <sheet name="Clientes" sheetId="3" r:id="rId4"/>
    <sheet name="Registros" sheetId="5" r:id="rId5"/>
  </sheets>
  <definedNames>
    <definedName name="_xlnm._FilterDatabase" localSheetId="1" hidden="1">Factura!$C$16:$G$28</definedName>
    <definedName name="_xlnm.Print_Area" localSheetId="1">Factura!$C$7:$G$45</definedName>
    <definedName name="PRECIO">Precios!$A$6:$F$100</definedName>
  </definedNames>
  <calcPr calcId="162913"/>
</workbook>
</file>

<file path=xl/calcChain.xml><?xml version="1.0" encoding="utf-8"?>
<calcChain xmlns="http://schemas.openxmlformats.org/spreadsheetml/2006/main">
  <c r="F15" i="1" l="1"/>
  <c r="A17" i="4"/>
  <c r="E7" i="2" l="1"/>
  <c r="D17" i="1" s="1"/>
  <c r="E8" i="2"/>
  <c r="E9" i="2"/>
  <c r="F9" i="2" s="1"/>
  <c r="E10" i="2"/>
  <c r="F10" i="2" s="1"/>
  <c r="E6" i="2"/>
  <c r="F6" i="2" s="1"/>
  <c r="A18" i="4" l="1"/>
  <c r="D18" i="4" s="1"/>
  <c r="A19" i="4"/>
  <c r="D19" i="4" s="1"/>
  <c r="A20" i="4"/>
  <c r="C20" i="4" s="1"/>
  <c r="A21" i="4"/>
  <c r="C21" i="4" s="1"/>
  <c r="A22" i="4"/>
  <c r="D22" i="4" s="1"/>
  <c r="A23" i="4"/>
  <c r="D23" i="4" s="1"/>
  <c r="A24" i="4"/>
  <c r="C24" i="4" s="1"/>
  <c r="A25" i="4"/>
  <c r="C25" i="4" s="1"/>
  <c r="A26" i="4"/>
  <c r="C26" i="4" s="1"/>
  <c r="A27" i="4"/>
  <c r="C27" i="4" s="1"/>
  <c r="A28" i="4"/>
  <c r="C28" i="4" s="1"/>
  <c r="E17" i="4"/>
  <c r="G9" i="4"/>
  <c r="G12" i="4"/>
  <c r="G13" i="4"/>
  <c r="D14" i="4"/>
  <c r="D13" i="4"/>
  <c r="D12" i="4"/>
  <c r="E15" i="1"/>
  <c r="D17" i="4" l="1"/>
  <c r="F27" i="4"/>
  <c r="F25" i="4"/>
  <c r="E23" i="4"/>
  <c r="F21" i="4"/>
  <c r="E19" i="4"/>
  <c r="F17" i="4"/>
  <c r="G17" i="4" s="1"/>
  <c r="D27" i="4"/>
  <c r="D25" i="4"/>
  <c r="C23" i="4"/>
  <c r="D21" i="4"/>
  <c r="C19" i="4"/>
  <c r="F28" i="4"/>
  <c r="D28" i="4"/>
  <c r="F26" i="4"/>
  <c r="D26" i="4"/>
  <c r="F24" i="4"/>
  <c r="D24" i="4"/>
  <c r="E22" i="4"/>
  <c r="C22" i="4"/>
  <c r="F20" i="4"/>
  <c r="D20" i="4"/>
  <c r="E18" i="4"/>
  <c r="C18" i="4"/>
  <c r="C17" i="4"/>
  <c r="E28" i="4"/>
  <c r="E27" i="4"/>
  <c r="E26" i="4"/>
  <c r="E25" i="4"/>
  <c r="G25" i="4" s="1"/>
  <c r="E24" i="4"/>
  <c r="F23" i="4"/>
  <c r="F22" i="4"/>
  <c r="E21" i="4"/>
  <c r="G21" i="4" s="1"/>
  <c r="E20" i="4"/>
  <c r="F19" i="4"/>
  <c r="F18" i="4"/>
  <c r="F7" i="1"/>
  <c r="F11" i="1"/>
  <c r="F10" i="1"/>
  <c r="C12" i="1"/>
  <c r="C11" i="1"/>
  <c r="C15" i="1"/>
  <c r="G19" i="4" l="1"/>
  <c r="G23" i="4"/>
  <c r="G27" i="4"/>
  <c r="G18" i="4"/>
  <c r="G22" i="4"/>
  <c r="G20" i="4"/>
  <c r="G24" i="4"/>
  <c r="G26" i="4"/>
  <c r="G28" i="4"/>
  <c r="G30" i="4" l="1"/>
  <c r="G31" i="4" s="1"/>
  <c r="G32" i="4" s="1"/>
  <c r="G33" i="4" l="1"/>
  <c r="G34" i="4" s="1"/>
  <c r="G36" i="4" s="1"/>
</calcChain>
</file>

<file path=xl/sharedStrings.xml><?xml version="1.0" encoding="utf-8"?>
<sst xmlns="http://schemas.openxmlformats.org/spreadsheetml/2006/main" count="224" uniqueCount="87">
  <si>
    <r>
      <t>N</t>
    </r>
    <r>
      <rPr>
        <b/>
        <sz val="11"/>
        <color theme="1"/>
        <rFont val="Calibri"/>
        <family val="2"/>
      </rPr>
      <t xml:space="preserve">º </t>
    </r>
    <r>
      <rPr>
        <b/>
        <sz val="11"/>
        <color theme="1"/>
        <rFont val="Calibri"/>
        <family val="2"/>
        <scheme val="minor"/>
      </rPr>
      <t>FACTURA</t>
    </r>
  </si>
  <si>
    <t>COMERCIAL SRL</t>
  </si>
  <si>
    <t>FECHA</t>
  </si>
  <si>
    <t>CLIENTE:</t>
  </si>
  <si>
    <t>Nº CLIENTE:</t>
  </si>
  <si>
    <t>DIRECCION:</t>
  </si>
  <si>
    <t>TELEFONO:</t>
  </si>
  <si>
    <t>CODIGO</t>
  </si>
  <si>
    <t>PRODUCTO</t>
  </si>
  <si>
    <t>CANTIDAD</t>
  </si>
  <si>
    <t>PRECIO</t>
  </si>
  <si>
    <t>IMPORTE</t>
  </si>
  <si>
    <t>SUB-TOTAL</t>
  </si>
  <si>
    <t>DESCUENTOS</t>
  </si>
  <si>
    <t>TOTAL</t>
  </si>
  <si>
    <t>FIRMA DE</t>
  </si>
  <si>
    <t xml:space="preserve">FIRMA DE </t>
  </si>
  <si>
    <t>QUIEN ENTREGA</t>
  </si>
  <si>
    <t>QUIEN RECIBE</t>
  </si>
  <si>
    <t>Comentarios:</t>
  </si>
  <si>
    <t>CLIENTE</t>
  </si>
  <si>
    <t>DIRECCION</t>
  </si>
  <si>
    <t>TELEFONO</t>
  </si>
  <si>
    <r>
      <t>N</t>
    </r>
    <r>
      <rPr>
        <b/>
        <sz val="11"/>
        <color theme="1"/>
        <rFont val="Calibri"/>
        <family val="2"/>
      </rPr>
      <t>º CLIENTE</t>
    </r>
  </si>
  <si>
    <t>CALLE 1</t>
  </si>
  <si>
    <t>CALLE 2</t>
  </si>
  <si>
    <t>CALLE 3</t>
  </si>
  <si>
    <t>Nº</t>
  </si>
  <si>
    <t>Nº CLIENTE</t>
  </si>
  <si>
    <t>Nº &amp; F</t>
  </si>
  <si>
    <t>ITBIS</t>
  </si>
  <si>
    <t>CAMBIO</t>
  </si>
  <si>
    <t>EFECTIVO</t>
  </si>
  <si>
    <t>1</t>
  </si>
  <si>
    <t>11</t>
  </si>
  <si>
    <t>21</t>
  </si>
  <si>
    <t>31</t>
  </si>
  <si>
    <t>41</t>
  </si>
  <si>
    <t>12</t>
  </si>
  <si>
    <t>CALLE 4</t>
  </si>
  <si>
    <t>13</t>
  </si>
  <si>
    <t>23</t>
  </si>
  <si>
    <t>33</t>
  </si>
  <si>
    <t>43</t>
  </si>
  <si>
    <t>53</t>
  </si>
  <si>
    <t>14</t>
  </si>
  <si>
    <t>24</t>
  </si>
  <si>
    <t>34</t>
  </si>
  <si>
    <t>44</t>
  </si>
  <si>
    <t>54</t>
  </si>
  <si>
    <t>Disponible</t>
  </si>
  <si>
    <t>Inv. Inicial</t>
  </si>
  <si>
    <t>15</t>
  </si>
  <si>
    <t>Facturado</t>
  </si>
  <si>
    <t>25</t>
  </si>
  <si>
    <t>35</t>
  </si>
  <si>
    <t>Cantidad disponible</t>
  </si>
  <si>
    <t>16</t>
  </si>
  <si>
    <t>26</t>
  </si>
  <si>
    <t/>
  </si>
  <si>
    <t>17</t>
  </si>
  <si>
    <t>Arroz</t>
  </si>
  <si>
    <t>Aceite</t>
  </si>
  <si>
    <t>Azúcar</t>
  </si>
  <si>
    <t>Maíz</t>
  </si>
  <si>
    <t>Pan</t>
  </si>
  <si>
    <t>Brandon</t>
  </si>
  <si>
    <t>Eduardo</t>
  </si>
  <si>
    <t>José</t>
  </si>
  <si>
    <t>Jorge</t>
  </si>
  <si>
    <t>4599-9998</t>
  </si>
  <si>
    <t>4599-9997</t>
  </si>
  <si>
    <t>4599-9996</t>
  </si>
  <si>
    <t>4599-9995</t>
  </si>
  <si>
    <t>DPI</t>
  </si>
  <si>
    <t xml:space="preserve">1213 2312  3131 </t>
  </si>
  <si>
    <t xml:space="preserve">1213 2312  3133 </t>
  </si>
  <si>
    <t xml:space="preserve">1213 2312  3132 </t>
  </si>
  <si>
    <t xml:space="preserve">1213 2312  3134 </t>
  </si>
  <si>
    <t>Arróz</t>
  </si>
  <si>
    <t>5454-4323</t>
  </si>
  <si>
    <t>Zona 10 Villa Nueva</t>
  </si>
  <si>
    <t>Zona 2</t>
  </si>
  <si>
    <t>Zona 4</t>
  </si>
  <si>
    <t>Zona 3</t>
  </si>
  <si>
    <t>Zona 1</t>
  </si>
  <si>
    <t>DPI: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</si>
</sst>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5" formatCode="_(&quot;RD$&quot;* #,##0.00_);_(&quot;RD$&quot;* \(#,##0.00\);_(&quot;RD$&quot;* &quot;-&quot;??_);_(@_)"/>
    <numFmt numFmtId="166" formatCode="_(* #,##0.00_);_(* \(#,##0.00\);_(* &quot;-&quot;??_);_(@_)"/>
    <numFmt numFmtId="167" formatCode="&quot;RD$&quot;#,##0.00"/>
    <numFmt numFmtId="168" formatCode="\A\0000"/>
    <numFmt numFmtId="169" formatCode="\B\0000"/>
    <numFmt numFmtId="171" formatCode="&quot;Q. &quot;#,##0.00"/>
    <numFmt numFmtId="172" formatCode="&quot;Q. &quot;#,##0.00_);[Red]\(&quot;RD$&quot;#,##0.0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07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/>
    <xf numFmtId="0" fontId="0" fillId="3" borderId="0" xfId="0" applyFill="1" applyBorder="1"/>
    <xf numFmtId="0" fontId="2" fillId="3" borderId="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14" fontId="5" fillId="3" borderId="5" xfId="0" applyNumberFormat="1" applyFont="1" applyFill="1" applyBorder="1" applyAlignment="1">
      <alignment horizontal="center" vertical="center"/>
    </xf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3" borderId="4" xfId="0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right"/>
    </xf>
    <xf numFmtId="0" fontId="5" fillId="3" borderId="8" xfId="0" applyFont="1" applyFill="1" applyBorder="1" applyAlignment="1">
      <alignment vertical="center"/>
    </xf>
    <xf numFmtId="0" fontId="0" fillId="2" borderId="0" xfId="0" applyFill="1" applyAlignment="1"/>
    <xf numFmtId="0" fontId="0" fillId="3" borderId="5" xfId="0" applyFill="1" applyBorder="1"/>
    <xf numFmtId="0" fontId="0" fillId="3" borderId="4" xfId="0" applyFill="1" applyBorder="1"/>
    <xf numFmtId="0" fontId="2" fillId="3" borderId="0" xfId="0" applyFont="1" applyFill="1" applyBorder="1" applyAlignment="1"/>
    <xf numFmtId="166" fontId="0" fillId="3" borderId="0" xfId="1" applyFont="1" applyFill="1" applyBorder="1"/>
    <xf numFmtId="166" fontId="0" fillId="3" borderId="5" xfId="1" applyFont="1" applyFill="1" applyBorder="1"/>
    <xf numFmtId="0" fontId="2" fillId="3" borderId="14" xfId="0" applyFont="1" applyFill="1" applyBorder="1"/>
    <xf numFmtId="9" fontId="2" fillId="3" borderId="0" xfId="0" applyNumberFormat="1" applyFont="1" applyFill="1" applyBorder="1"/>
    <xf numFmtId="0" fontId="2" fillId="3" borderId="16" xfId="0" applyFont="1" applyFill="1" applyBorder="1" applyAlignment="1">
      <alignment horizontal="left"/>
    </xf>
    <xf numFmtId="0" fontId="0" fillId="3" borderId="17" xfId="0" applyFill="1" applyBorder="1"/>
    <xf numFmtId="0" fontId="2" fillId="3" borderId="17" xfId="0" applyFont="1" applyFill="1" applyBorder="1"/>
    <xf numFmtId="0" fontId="0" fillId="3" borderId="18" xfId="0" applyFill="1" applyBorder="1"/>
    <xf numFmtId="0" fontId="2" fillId="3" borderId="4" xfId="0" applyFont="1" applyFill="1" applyBorder="1" applyAlignment="1">
      <alignment horizontal="left"/>
    </xf>
    <xf numFmtId="0" fontId="2" fillId="3" borderId="0" xfId="0" applyFont="1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6" xfId="0" applyFont="1" applyFill="1" applyBorder="1" applyAlignment="1">
      <alignment vertical="center"/>
    </xf>
    <xf numFmtId="0" fontId="0" fillId="3" borderId="7" xfId="0" applyFont="1" applyFill="1" applyBorder="1" applyAlignment="1">
      <alignment vertical="center"/>
    </xf>
    <xf numFmtId="0" fontId="0" fillId="3" borderId="10" xfId="0" applyFont="1" applyFill="1" applyBorder="1" applyAlignment="1">
      <alignment vertical="center"/>
    </xf>
    <xf numFmtId="0" fontId="0" fillId="3" borderId="11" xfId="0" applyFont="1" applyFill="1" applyBorder="1" applyAlignment="1">
      <alignment vertical="center"/>
    </xf>
    <xf numFmtId="167" fontId="0" fillId="3" borderId="12" xfId="0" applyNumberFormat="1" applyFont="1" applyFill="1" applyBorder="1" applyAlignment="1">
      <alignment vertical="center"/>
    </xf>
    <xf numFmtId="0" fontId="0" fillId="3" borderId="13" xfId="0" applyFont="1" applyFill="1" applyBorder="1" applyAlignment="1">
      <alignment vertical="center"/>
    </xf>
    <xf numFmtId="0" fontId="0" fillId="3" borderId="14" xfId="0" applyFont="1" applyFill="1" applyBorder="1" applyAlignment="1">
      <alignment vertical="center"/>
    </xf>
    <xf numFmtId="167" fontId="0" fillId="3" borderId="15" xfId="0" applyNumberFormat="1" applyFont="1" applyFill="1" applyBorder="1" applyAlignment="1">
      <alignment vertical="center"/>
    </xf>
    <xf numFmtId="0" fontId="0" fillId="0" borderId="0" xfId="0" applyNumberFormat="1"/>
    <xf numFmtId="0" fontId="0" fillId="0" borderId="0" xfId="0"/>
    <xf numFmtId="0" fontId="0" fillId="0" borderId="0" xfId="0"/>
    <xf numFmtId="165" fontId="2" fillId="3" borderId="5" xfId="0" applyNumberFormat="1" applyFont="1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14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0" fontId="5" fillId="2" borderId="0" xfId="0" applyFont="1" applyFill="1" applyBorder="1" applyAlignment="1">
      <alignment vertical="center"/>
    </xf>
    <xf numFmtId="167" fontId="5" fillId="2" borderId="0" xfId="0" applyNumberFormat="1" applyFont="1" applyFill="1" applyBorder="1" applyAlignment="1">
      <alignment vertical="center"/>
    </xf>
    <xf numFmtId="166" fontId="0" fillId="2" borderId="0" xfId="1" applyFont="1" applyFill="1" applyBorder="1"/>
    <xf numFmtId="165" fontId="2" fillId="2" borderId="0" xfId="2" applyNumberFormat="1" applyFont="1" applyFill="1" applyBorder="1"/>
    <xf numFmtId="165" fontId="2" fillId="2" borderId="0" xfId="0" applyNumberFormat="1" applyFont="1" applyFill="1" applyBorder="1"/>
    <xf numFmtId="0" fontId="2" fillId="2" borderId="0" xfId="0" applyFont="1" applyFill="1" applyBorder="1" applyAlignment="1">
      <alignment horizontal="left"/>
    </xf>
    <xf numFmtId="0" fontId="0" fillId="5" borderId="0" xfId="0" applyFill="1"/>
    <xf numFmtId="0" fontId="0" fillId="6" borderId="0" xfId="0" applyFill="1"/>
    <xf numFmtId="168" fontId="0" fillId="0" borderId="0" xfId="0" applyNumberFormat="1"/>
    <xf numFmtId="169" fontId="2" fillId="3" borderId="4" xfId="0" applyNumberFormat="1" applyFont="1" applyFill="1" applyBorder="1" applyAlignment="1">
      <alignment horizontal="center"/>
    </xf>
    <xf numFmtId="169" fontId="0" fillId="0" borderId="0" xfId="0" applyNumberFormat="1"/>
    <xf numFmtId="168" fontId="0" fillId="3" borderId="7" xfId="0" applyNumberFormat="1" applyFont="1" applyFill="1" applyBorder="1" applyAlignment="1">
      <alignment vertical="center"/>
    </xf>
    <xf numFmtId="0" fontId="0" fillId="0" borderId="23" xfId="0" applyBorder="1"/>
    <xf numFmtId="169" fontId="0" fillId="0" borderId="23" xfId="0" applyNumberFormat="1" applyBorder="1"/>
    <xf numFmtId="14" fontId="5" fillId="3" borderId="23" xfId="0" applyNumberFormat="1" applyFont="1" applyFill="1" applyBorder="1" applyAlignment="1">
      <alignment horizontal="center" vertical="center"/>
    </xf>
    <xf numFmtId="168" fontId="0" fillId="0" borderId="23" xfId="0" applyNumberFormat="1" applyBorder="1"/>
    <xf numFmtId="14" fontId="0" fillId="3" borderId="7" xfId="0" applyNumberFormat="1" applyFont="1" applyFill="1" applyBorder="1" applyAlignment="1">
      <alignment vertical="center"/>
    </xf>
    <xf numFmtId="0" fontId="0" fillId="0" borderId="0" xfId="0" applyNumberFormat="1" applyFill="1" applyBorder="1"/>
    <xf numFmtId="0" fontId="0" fillId="0" borderId="14" xfId="0" applyBorder="1"/>
    <xf numFmtId="169" fontId="0" fillId="0" borderId="14" xfId="0" applyNumberFormat="1" applyBorder="1"/>
    <xf numFmtId="14" fontId="5" fillId="3" borderId="14" xfId="0" applyNumberFormat="1" applyFont="1" applyFill="1" applyBorder="1" applyAlignment="1">
      <alignment horizontal="center" vertical="center"/>
    </xf>
    <xf numFmtId="168" fontId="0" fillId="0" borderId="14" xfId="0" applyNumberFormat="1" applyBorder="1"/>
    <xf numFmtId="0" fontId="0" fillId="3" borderId="4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167" fontId="0" fillId="3" borderId="5" xfId="0" applyNumberFormat="1" applyFont="1" applyFill="1" applyBorder="1" applyAlignment="1">
      <alignment vertical="center"/>
    </xf>
    <xf numFmtId="0" fontId="0" fillId="0" borderId="0" xfId="0" applyFill="1" applyBorder="1"/>
    <xf numFmtId="0" fontId="4" fillId="3" borderId="0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left"/>
    </xf>
    <xf numFmtId="0" fontId="2" fillId="3" borderId="7" xfId="0" applyFont="1" applyFill="1" applyBorder="1" applyAlignment="1">
      <alignment horizontal="left"/>
    </xf>
    <xf numFmtId="171" fontId="0" fillId="3" borderId="12" xfId="0" applyNumberFormat="1" applyFont="1" applyFill="1" applyBorder="1" applyAlignment="1">
      <alignment vertical="center"/>
    </xf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2" fillId="9" borderId="1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right" vertical="center"/>
    </xf>
    <xf numFmtId="171" fontId="2" fillId="3" borderId="15" xfId="2" applyNumberFormat="1" applyFont="1" applyFill="1" applyBorder="1"/>
    <xf numFmtId="171" fontId="2" fillId="8" borderId="15" xfId="2" applyNumberFormat="1" applyFont="1" applyFill="1" applyBorder="1"/>
    <xf numFmtId="9" fontId="2" fillId="8" borderId="0" xfId="2" applyNumberFormat="1" applyFont="1" applyFill="1" applyBorder="1"/>
    <xf numFmtId="167" fontId="2" fillId="9" borderId="15" xfId="0" applyNumberFormat="1" applyFont="1" applyFill="1" applyBorder="1"/>
    <xf numFmtId="172" fontId="2" fillId="7" borderId="15" xfId="0" applyNumberFormat="1" applyFont="1" applyFill="1" applyBorder="1"/>
    <xf numFmtId="0" fontId="2" fillId="9" borderId="23" xfId="0" applyFont="1" applyFill="1" applyBorder="1"/>
    <xf numFmtId="0" fontId="2" fillId="8" borderId="23" xfId="0" applyFont="1" applyFill="1" applyBorder="1"/>
    <xf numFmtId="0" fontId="0" fillId="9" borderId="0" xfId="0" applyFill="1"/>
    <xf numFmtId="0" fontId="2" fillId="8" borderId="23" xfId="0" applyFont="1" applyFill="1" applyBorder="1" applyAlignment="1">
      <alignment horizontal="left"/>
    </xf>
    <xf numFmtId="0" fontId="3" fillId="8" borderId="23" xfId="0" applyFont="1" applyFill="1" applyBorder="1" applyAlignment="1">
      <alignment horizontal="left"/>
    </xf>
    <xf numFmtId="0" fontId="2" fillId="8" borderId="23" xfId="0" applyFont="1" applyFill="1" applyBorder="1" applyAlignment="1">
      <alignment horizontal="left" vertical="center"/>
    </xf>
  </cellXfs>
  <cellStyles count="3">
    <cellStyle name="Millares" xfId="1" builtinId="3"/>
    <cellStyle name="Moneda" xfId="2" builtinId="4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GERENAR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ULT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ULTIMO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PRECIOS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9525</xdr:rowOff>
        </xdr:from>
        <xdr:to>
          <xdr:col>7</xdr:col>
          <xdr:colOff>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9525</xdr:rowOff>
        </xdr:from>
        <xdr:to>
          <xdr:col>5</xdr:col>
          <xdr:colOff>762000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2 COPIA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ULTIMO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OTRO PROD.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38100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180975</xdr:rowOff>
        </xdr:from>
        <xdr:to>
          <xdr:col>2</xdr:col>
          <xdr:colOff>800100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18"/>
  <sheetViews>
    <sheetView tabSelected="1" workbookViewId="0">
      <selection activeCell="J16" sqref="J16"/>
    </sheetView>
  </sheetViews>
  <sheetFormatPr baseColWidth="10" defaultRowHeight="15" x14ac:dyDescent="0.25"/>
  <cols>
    <col min="1" max="2" width="11.42578125" style="59"/>
    <col min="3" max="3" width="26.42578125" style="59" customWidth="1"/>
    <col min="4" max="5" width="11.42578125" style="59"/>
    <col min="6" max="6" width="12.5703125" style="59" bestFit="1" customWidth="1"/>
    <col min="7" max="16384" width="11.42578125" style="59"/>
  </cols>
  <sheetData>
    <row r="1" spans="2:6" x14ac:dyDescent="0.25">
      <c r="B1" s="84"/>
      <c r="C1" s="85"/>
      <c r="D1" s="85"/>
      <c r="E1" s="85"/>
      <c r="F1" s="86"/>
    </row>
    <row r="2" spans="2:6" x14ac:dyDescent="0.25">
      <c r="B2" s="87"/>
      <c r="C2" s="88"/>
      <c r="D2" s="88"/>
      <c r="E2" s="88"/>
      <c r="F2" s="89"/>
    </row>
    <row r="3" spans="2:6" x14ac:dyDescent="0.25">
      <c r="B3" s="87"/>
      <c r="C3" s="88"/>
      <c r="D3" s="88"/>
      <c r="E3" s="88"/>
      <c r="F3" s="89"/>
    </row>
    <row r="4" spans="2:6" ht="15.75" thickBot="1" x14ac:dyDescent="0.3">
      <c r="B4" s="90"/>
      <c r="C4" s="91"/>
      <c r="D4" s="91"/>
      <c r="E4" s="91"/>
      <c r="F4" s="92"/>
    </row>
    <row r="5" spans="2:6" x14ac:dyDescent="0.25">
      <c r="B5" s="2" t="s">
        <v>0</v>
      </c>
      <c r="C5" s="3"/>
      <c r="D5" s="3"/>
      <c r="E5" s="3"/>
      <c r="F5" s="4"/>
    </row>
    <row r="6" spans="2:6" ht="15.75" x14ac:dyDescent="0.25">
      <c r="B6" s="62">
        <v>8</v>
      </c>
      <c r="C6" s="79" t="s">
        <v>1</v>
      </c>
      <c r="D6" s="79"/>
      <c r="E6" s="79"/>
      <c r="F6" s="6" t="s">
        <v>2</v>
      </c>
    </row>
    <row r="7" spans="2:6" ht="15.75" x14ac:dyDescent="0.25">
      <c r="B7" s="7"/>
      <c r="C7" s="79" t="s">
        <v>81</v>
      </c>
      <c r="D7" s="79"/>
      <c r="E7" s="79"/>
      <c r="F7" s="8">
        <f ca="1">TODAY()</f>
        <v>42845</v>
      </c>
    </row>
    <row r="8" spans="2:6" ht="15.75" x14ac:dyDescent="0.25">
      <c r="B8" s="9"/>
      <c r="C8" s="79" t="s">
        <v>80</v>
      </c>
      <c r="D8" s="79"/>
      <c r="E8" s="79"/>
      <c r="F8" s="10"/>
    </row>
    <row r="9" spans="2:6" x14ac:dyDescent="0.25">
      <c r="B9" s="11"/>
      <c r="C9" s="12"/>
      <c r="D9" s="12"/>
      <c r="E9" s="12"/>
      <c r="F9" s="10"/>
    </row>
    <row r="10" spans="2:6" x14ac:dyDescent="0.25">
      <c r="B10" s="13" t="s">
        <v>3</v>
      </c>
      <c r="C10" s="34"/>
      <c r="D10" s="14"/>
      <c r="E10" s="15" t="s">
        <v>4</v>
      </c>
      <c r="F10" s="64" t="str">
        <f>IFERROR(VLOOKUP($C$10,Clientes!$A$6:$E$100,2,0),"")</f>
        <v/>
      </c>
    </row>
    <row r="11" spans="2:6" x14ac:dyDescent="0.25">
      <c r="B11" s="13" t="s">
        <v>5</v>
      </c>
      <c r="C11" s="34" t="str">
        <f>IFERROR(VLOOKUP($C$10,Clientes!$A$6:$E$100,3,0),"")</f>
        <v/>
      </c>
      <c r="D11" s="16"/>
      <c r="E11" s="15" t="s">
        <v>74</v>
      </c>
      <c r="F11" s="35" t="str">
        <f>IFERROR(VLOOKUP($C$10,Clientes!$A$6:$E$100,5,0),"")</f>
        <v/>
      </c>
    </row>
    <row r="12" spans="2:6" x14ac:dyDescent="0.25">
      <c r="B12" s="13" t="s">
        <v>6</v>
      </c>
      <c r="C12" s="34" t="str">
        <f>IFERROR(VLOOKUP($C$10,Clientes!$A$6:$E$100,4,0),"")</f>
        <v/>
      </c>
      <c r="D12" s="16"/>
      <c r="E12" s="5"/>
      <c r="F12" s="18"/>
    </row>
    <row r="13" spans="2:6" ht="15.75" thickBot="1" x14ac:dyDescent="0.3">
      <c r="B13" s="19"/>
      <c r="C13" s="5"/>
      <c r="D13" s="5"/>
      <c r="E13" s="5"/>
      <c r="F13" s="18"/>
    </row>
    <row r="14" spans="2:6" ht="15.75" thickBot="1" x14ac:dyDescent="0.3">
      <c r="B14" s="93" t="s">
        <v>7</v>
      </c>
      <c r="C14" s="93" t="s">
        <v>8</v>
      </c>
      <c r="D14" s="94" t="s">
        <v>9</v>
      </c>
      <c r="E14" s="94" t="s">
        <v>10</v>
      </c>
      <c r="F14" s="94" t="s">
        <v>11</v>
      </c>
    </row>
    <row r="15" spans="2:6" x14ac:dyDescent="0.25">
      <c r="B15" s="36">
        <v>103</v>
      </c>
      <c r="C15" s="37" t="str">
        <f>IFERROR(VLOOKUP($B$15,PRECIO,2,0),"")</f>
        <v>Pan</v>
      </c>
      <c r="D15" s="37"/>
      <c r="E15" s="37">
        <f>IFERROR(VLOOKUP($B$15,PRECIO,3,0),"")</f>
        <v>5</v>
      </c>
      <c r="F15" s="83">
        <f>IFERROR(D15*E15,"")</f>
        <v>0</v>
      </c>
    </row>
    <row r="16" spans="2:6" x14ac:dyDescent="0.25">
      <c r="B16" s="75"/>
      <c r="C16" s="76"/>
      <c r="D16" s="76"/>
      <c r="E16" s="76"/>
      <c r="F16" s="77"/>
    </row>
    <row r="17" spans="2:6" x14ac:dyDescent="0.25">
      <c r="B17" s="75"/>
      <c r="C17" s="95" t="s">
        <v>56</v>
      </c>
      <c r="D17" s="40">
        <f>IFERROR(VLOOKUP(B15,PRECIO,6,0),"")</f>
        <v>968</v>
      </c>
      <c r="E17" s="76"/>
      <c r="F17" s="77"/>
    </row>
    <row r="18" spans="2:6" ht="15.75" thickBot="1" x14ac:dyDescent="0.3">
      <c r="B18" s="31"/>
      <c r="C18" s="32"/>
      <c r="D18" s="32"/>
      <c r="E18" s="32"/>
      <c r="F18" s="33"/>
    </row>
  </sheetData>
  <mergeCells count="3">
    <mergeCell ref="C6:E6"/>
    <mergeCell ref="C7:E7"/>
    <mergeCell ref="C8:E8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FACTURA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UARDAR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LIMINAR2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GISTRO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PRECIOS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LIENTE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Between" id="{EE3251AC-EE42-4350-90A0-610C4317B87B}">
            <xm:f>1</xm:f>
            <xm:f>Precios!$D$6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Precios!$A$6:$A$100</xm:f>
          </x14:formula1>
          <xm:sqref>B15:B17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A1:I45"/>
  <sheetViews>
    <sheetView topLeftCell="A12" zoomScaleNormal="100" workbookViewId="0">
      <selection activeCell="K15" sqref="K15"/>
    </sheetView>
  </sheetViews>
  <sheetFormatPr baseColWidth="10" defaultRowHeight="15" x14ac:dyDescent="0.25"/>
  <cols>
    <col min="1" max="1" width="9.5703125" style="1" customWidth="1"/>
    <col min="2" max="2" width="11" style="1" customWidth="1"/>
    <col min="3" max="3" width="11.42578125" style="1"/>
    <col min="4" max="4" width="22.85546875" style="1" customWidth="1"/>
    <col min="5" max="5" width="11.42578125" style="1" customWidth="1"/>
    <col min="6" max="6" width="13.7109375" style="1" customWidth="1"/>
    <col min="7" max="7" width="15.7109375" style="1" customWidth="1"/>
    <col min="8" max="8" width="8.5703125" style="1" customWidth="1"/>
    <col min="9" max="16384" width="11.42578125" style="1"/>
  </cols>
  <sheetData>
    <row r="1" spans="3:9" ht="15.6" customHeight="1" thickBot="1" x14ac:dyDescent="0.3"/>
    <row r="2" spans="3:9" ht="15.6" customHeight="1" x14ac:dyDescent="0.25">
      <c r="C2" s="46"/>
      <c r="D2" s="47"/>
      <c r="E2" s="47"/>
      <c r="F2" s="47"/>
      <c r="G2" s="48"/>
      <c r="H2" s="49"/>
    </row>
    <row r="3" spans="3:9" ht="15.6" customHeight="1" x14ac:dyDescent="0.25">
      <c r="C3" s="87"/>
      <c r="D3" s="88"/>
      <c r="E3" s="88"/>
      <c r="F3" s="88"/>
      <c r="G3" s="89"/>
      <c r="H3" s="49"/>
    </row>
    <row r="4" spans="3:9" ht="15.6" customHeight="1" x14ac:dyDescent="0.25">
      <c r="C4" s="87"/>
      <c r="D4" s="88"/>
      <c r="E4" s="88"/>
      <c r="F4" s="88"/>
      <c r="G4" s="89"/>
      <c r="H4" s="49"/>
    </row>
    <row r="5" spans="3:9" ht="15.6" customHeight="1" x14ac:dyDescent="0.25">
      <c r="C5" s="87"/>
      <c r="D5" s="88"/>
      <c r="E5" s="88"/>
      <c r="F5" s="88"/>
      <c r="G5" s="89"/>
      <c r="H5" s="49"/>
    </row>
    <row r="6" spans="3:9" ht="15.6" customHeight="1" thickBot="1" x14ac:dyDescent="0.3">
      <c r="C6" s="87"/>
      <c r="D6" s="88"/>
      <c r="E6" s="88"/>
      <c r="F6" s="88"/>
      <c r="G6" s="89"/>
      <c r="H6" s="49"/>
    </row>
    <row r="7" spans="3:9" x14ac:dyDescent="0.25">
      <c r="C7" s="2" t="s">
        <v>0</v>
      </c>
      <c r="D7" s="3"/>
      <c r="E7" s="3"/>
      <c r="F7" s="3"/>
      <c r="G7" s="4"/>
      <c r="H7" s="49"/>
    </row>
    <row r="8" spans="3:9" ht="15.75" x14ac:dyDescent="0.25">
      <c r="C8" s="62">
        <v>7</v>
      </c>
      <c r="D8" s="79" t="s">
        <v>1</v>
      </c>
      <c r="E8" s="79"/>
      <c r="F8" s="79"/>
      <c r="G8" s="6" t="s">
        <v>2</v>
      </c>
      <c r="H8" s="50"/>
    </row>
    <row r="9" spans="3:9" ht="15.75" x14ac:dyDescent="0.25">
      <c r="C9" s="7"/>
      <c r="D9" s="79" t="s">
        <v>81</v>
      </c>
      <c r="E9" s="79"/>
      <c r="F9" s="79"/>
      <c r="G9" s="69">
        <f>IFERROR(VLOOKUP($C$8,Registros!$C$6:$N$114,2,0),"")</f>
        <v>42845</v>
      </c>
      <c r="H9" s="51"/>
    </row>
    <row r="10" spans="3:9" ht="15.75" x14ac:dyDescent="0.25">
      <c r="C10" s="9"/>
      <c r="D10" s="79" t="s">
        <v>80</v>
      </c>
      <c r="E10" s="79"/>
      <c r="F10" s="79"/>
      <c r="G10" s="10"/>
      <c r="H10" s="52"/>
    </row>
    <row r="11" spans="3:9" x14ac:dyDescent="0.25">
      <c r="C11" s="11"/>
      <c r="D11" s="12"/>
      <c r="E11" s="12"/>
      <c r="F11" s="12"/>
      <c r="G11" s="10"/>
      <c r="H11" s="52"/>
    </row>
    <row r="12" spans="3:9" x14ac:dyDescent="0.25">
      <c r="C12" s="13" t="s">
        <v>3</v>
      </c>
      <c r="D12" s="34">
        <f>IFERROR(VLOOKUP($C$8,Registros!$C$6:$N$114,4,0),"")</f>
        <v>0</v>
      </c>
      <c r="E12" s="14"/>
      <c r="F12" s="15" t="s">
        <v>4</v>
      </c>
      <c r="G12" s="64" t="str">
        <f>IFERROR(VLOOKUP($C$8,Registros!$C$6:$N$114,3,0),"")</f>
        <v/>
      </c>
      <c r="H12" s="53"/>
    </row>
    <row r="13" spans="3:9" x14ac:dyDescent="0.25">
      <c r="C13" s="13" t="s">
        <v>5</v>
      </c>
      <c r="D13" s="34" t="str">
        <f>IFERROR(VLOOKUP($C$8,Registros!$C$6:$N$114,5,0),"")</f>
        <v/>
      </c>
      <c r="E13" s="16"/>
      <c r="F13" s="15" t="s">
        <v>86</v>
      </c>
      <c r="G13" s="35" t="str">
        <f>IFERROR(VLOOKUP($C$8,Registros!$C$6:$N$114,7,0),"")</f>
        <v/>
      </c>
      <c r="H13" s="53"/>
      <c r="I13" s="17"/>
    </row>
    <row r="14" spans="3:9" x14ac:dyDescent="0.25">
      <c r="C14" s="13" t="s">
        <v>6</v>
      </c>
      <c r="D14" s="34" t="str">
        <f>IFERROR(VLOOKUP($C$8,Registros!$C$6:$N$114,6,0),"")</f>
        <v/>
      </c>
      <c r="E14" s="16"/>
      <c r="F14" s="5"/>
      <c r="G14" s="18"/>
      <c r="H14" s="49"/>
    </row>
    <row r="15" spans="3:9" ht="15.75" thickBot="1" x14ac:dyDescent="0.3">
      <c r="C15" s="31"/>
      <c r="D15" s="32"/>
      <c r="E15" s="32"/>
      <c r="F15" s="32"/>
      <c r="G15" s="33"/>
      <c r="H15" s="49"/>
    </row>
    <row r="16" spans="3:9" ht="15.75" thickBot="1" x14ac:dyDescent="0.3">
      <c r="C16" s="93" t="s">
        <v>7</v>
      </c>
      <c r="D16" s="93" t="s">
        <v>8</v>
      </c>
      <c r="E16" s="94" t="s">
        <v>9</v>
      </c>
      <c r="F16" s="94" t="s">
        <v>10</v>
      </c>
      <c r="G16" s="94" t="s">
        <v>11</v>
      </c>
      <c r="H16" s="50"/>
    </row>
    <row r="17" spans="1:8" x14ac:dyDescent="0.25">
      <c r="A17" s="1" t="str">
        <f>B17&amp;$C$8</f>
        <v>17</v>
      </c>
      <c r="B17" s="1">
        <v>1</v>
      </c>
      <c r="C17" s="36">
        <f>IFERROR(VLOOKUP(A17,Registros!$A$6:$N$114,10,0),"")</f>
        <v>0</v>
      </c>
      <c r="D17" s="37" t="str">
        <f>IFERROR(VLOOKUP(A17,Registros!$A$6:$N$114,11,0),"")</f>
        <v/>
      </c>
      <c r="E17" s="37">
        <f>IFERROR(VLOOKUP(A17,Registros!$A$6:$N$114,12,0),"")</f>
        <v>0</v>
      </c>
      <c r="F17" s="37" t="str">
        <f>IFERROR(VLOOKUP(A17,Registros!$A$6:$N$114,13,0),"")</f>
        <v/>
      </c>
      <c r="G17" s="38" t="str">
        <f>IFERROR(E17*F17,"")</f>
        <v/>
      </c>
      <c r="H17" s="54"/>
    </row>
    <row r="18" spans="1:8" hidden="1" x14ac:dyDescent="0.25">
      <c r="A18" s="1" t="str">
        <f t="shared" ref="A18:A28" si="0">B18&amp;$C$8</f>
        <v>27</v>
      </c>
      <c r="B18" s="1">
        <v>2</v>
      </c>
      <c r="C18" s="39" t="str">
        <f>IFERROR(VLOOKUP(A18,Registros!$A$6:$N$114,10,0),"")</f>
        <v/>
      </c>
      <c r="D18" s="40" t="str">
        <f>IFERROR(VLOOKUP(A18,Registros!$A$6:$N$114,11,0),"")</f>
        <v/>
      </c>
      <c r="E18" s="40" t="str">
        <f>IFERROR(VLOOKUP(A18,Registros!$A$6:$N$114,12,0),"")</f>
        <v/>
      </c>
      <c r="F18" s="40" t="str">
        <f>IFERROR(VLOOKUP(A18,Registros!$A$6:$N$114,13,0),"")</f>
        <v/>
      </c>
      <c r="G18" s="41" t="str">
        <f t="shared" ref="G18:G28" si="1">IFERROR(E18*F18,"")</f>
        <v/>
      </c>
      <c r="H18" s="54"/>
    </row>
    <row r="19" spans="1:8" hidden="1" x14ac:dyDescent="0.25">
      <c r="A19" s="1" t="str">
        <f t="shared" si="0"/>
        <v>37</v>
      </c>
      <c r="B19" s="1">
        <v>3</v>
      </c>
      <c r="C19" s="39" t="str">
        <f>IFERROR(VLOOKUP(A19,Registros!$A$6:$N$114,10,0),"")</f>
        <v/>
      </c>
      <c r="D19" s="40" t="str">
        <f>IFERROR(VLOOKUP(A19,Registros!$A$6:$N$114,11,0),"")</f>
        <v/>
      </c>
      <c r="E19" s="40" t="str">
        <f>IFERROR(VLOOKUP(A19,Registros!$A$6:$N$114,12,0),"")</f>
        <v/>
      </c>
      <c r="F19" s="40" t="str">
        <f>IFERROR(VLOOKUP(A19,Registros!$A$6:$N$114,13,0),"")</f>
        <v/>
      </c>
      <c r="G19" s="41" t="str">
        <f t="shared" si="1"/>
        <v/>
      </c>
      <c r="H19" s="54"/>
    </row>
    <row r="20" spans="1:8" hidden="1" x14ac:dyDescent="0.25">
      <c r="A20" s="1" t="str">
        <f t="shared" si="0"/>
        <v>47</v>
      </c>
      <c r="B20" s="1">
        <v>4</v>
      </c>
      <c r="C20" s="39" t="str">
        <f>IFERROR(VLOOKUP(A20,Registros!$A$6:$N$114,10,0),"")</f>
        <v/>
      </c>
      <c r="D20" s="40" t="str">
        <f>IFERROR(VLOOKUP(A20,Registros!$A$6:$N$114,11,0),"")</f>
        <v/>
      </c>
      <c r="E20" s="40" t="str">
        <f>IFERROR(VLOOKUP(A20,Registros!$A$6:$N$114,12,0),"")</f>
        <v/>
      </c>
      <c r="F20" s="40" t="str">
        <f>IFERROR(VLOOKUP(A20,Registros!$A$6:$N$114,13,0),"")</f>
        <v/>
      </c>
      <c r="G20" s="41" t="str">
        <f t="shared" si="1"/>
        <v/>
      </c>
      <c r="H20" s="54"/>
    </row>
    <row r="21" spans="1:8" hidden="1" x14ac:dyDescent="0.25">
      <c r="A21" s="1" t="str">
        <f t="shared" si="0"/>
        <v>57</v>
      </c>
      <c r="B21" s="1">
        <v>5</v>
      </c>
      <c r="C21" s="39" t="str">
        <f>IFERROR(VLOOKUP(A21,Registros!$A$6:$N$114,10,0),"")</f>
        <v/>
      </c>
      <c r="D21" s="40" t="str">
        <f>IFERROR(VLOOKUP(A21,Registros!$A$6:$N$114,11,0),"")</f>
        <v/>
      </c>
      <c r="E21" s="40" t="str">
        <f>IFERROR(VLOOKUP(A21,Registros!$A$6:$N$114,12,0),"")</f>
        <v/>
      </c>
      <c r="F21" s="40" t="str">
        <f>IFERROR(VLOOKUP(A21,Registros!$A$6:$N$114,13,0),"")</f>
        <v/>
      </c>
      <c r="G21" s="41" t="str">
        <f t="shared" si="1"/>
        <v/>
      </c>
      <c r="H21" s="54"/>
    </row>
    <row r="22" spans="1:8" hidden="1" x14ac:dyDescent="0.25">
      <c r="A22" s="1" t="str">
        <f t="shared" si="0"/>
        <v>67</v>
      </c>
      <c r="B22" s="1">
        <v>6</v>
      </c>
      <c r="C22" s="39" t="str">
        <f>IFERROR(VLOOKUP(A22,Registros!$A$6:$N$114,10,0),"")</f>
        <v/>
      </c>
      <c r="D22" s="40" t="str">
        <f>IFERROR(VLOOKUP(A22,Registros!$A$6:$N$114,11,0),"")</f>
        <v/>
      </c>
      <c r="E22" s="40" t="str">
        <f>IFERROR(VLOOKUP(A22,Registros!$A$6:$N$114,12,0),"")</f>
        <v/>
      </c>
      <c r="F22" s="40" t="str">
        <f>IFERROR(VLOOKUP(A22,Registros!$A$6:$N$114,13,0),"")</f>
        <v/>
      </c>
      <c r="G22" s="41" t="str">
        <f t="shared" si="1"/>
        <v/>
      </c>
      <c r="H22" s="54"/>
    </row>
    <row r="23" spans="1:8" hidden="1" x14ac:dyDescent="0.25">
      <c r="A23" s="1" t="str">
        <f t="shared" si="0"/>
        <v>77</v>
      </c>
      <c r="B23" s="1">
        <v>7</v>
      </c>
      <c r="C23" s="39" t="str">
        <f>IFERROR(VLOOKUP(A23,Registros!$A$6:$N$114,10,0),"")</f>
        <v/>
      </c>
      <c r="D23" s="40" t="str">
        <f>IFERROR(VLOOKUP(A23,Registros!$A$6:$N$114,11,0),"")</f>
        <v/>
      </c>
      <c r="E23" s="40" t="str">
        <f>IFERROR(VLOOKUP(A23,Registros!$A$6:$N$114,12,0),"")</f>
        <v/>
      </c>
      <c r="F23" s="40" t="str">
        <f>IFERROR(VLOOKUP(A23,Registros!$A$6:$N$114,13,0),"")</f>
        <v/>
      </c>
      <c r="G23" s="41" t="str">
        <f t="shared" si="1"/>
        <v/>
      </c>
      <c r="H23" s="54"/>
    </row>
    <row r="24" spans="1:8" hidden="1" x14ac:dyDescent="0.25">
      <c r="A24" s="1" t="str">
        <f t="shared" si="0"/>
        <v>87</v>
      </c>
      <c r="B24" s="1">
        <v>8</v>
      </c>
      <c r="C24" s="39" t="str">
        <f>IFERROR(VLOOKUP(A24,Registros!$A$6:$N$114,10,0),"")</f>
        <v/>
      </c>
      <c r="D24" s="40" t="str">
        <f>IFERROR(VLOOKUP(A24,Registros!$A$6:$N$114,11,0),"")</f>
        <v/>
      </c>
      <c r="E24" s="40" t="str">
        <f>IFERROR(VLOOKUP(A24,Registros!$A$6:$N$114,12,0),"")</f>
        <v/>
      </c>
      <c r="F24" s="40" t="str">
        <f>IFERROR(VLOOKUP(A24,Registros!$A$6:$N$114,13,0),"")</f>
        <v/>
      </c>
      <c r="G24" s="41" t="str">
        <f t="shared" si="1"/>
        <v/>
      </c>
      <c r="H24" s="54"/>
    </row>
    <row r="25" spans="1:8" hidden="1" x14ac:dyDescent="0.25">
      <c r="A25" s="1" t="str">
        <f t="shared" si="0"/>
        <v>97</v>
      </c>
      <c r="B25" s="1">
        <v>9</v>
      </c>
      <c r="C25" s="39" t="str">
        <f>IFERROR(VLOOKUP(A25,Registros!$A$6:$N$114,10,0),"")</f>
        <v/>
      </c>
      <c r="D25" s="40" t="str">
        <f>IFERROR(VLOOKUP(A25,Registros!$A$6:$N$114,11,0),"")</f>
        <v/>
      </c>
      <c r="E25" s="40" t="str">
        <f>IFERROR(VLOOKUP(A25,Registros!$A$6:$N$114,12,0),"")</f>
        <v/>
      </c>
      <c r="F25" s="40" t="str">
        <f>IFERROR(VLOOKUP(A25,Registros!$A$6:$N$114,13,0),"")</f>
        <v/>
      </c>
      <c r="G25" s="41" t="str">
        <f t="shared" si="1"/>
        <v/>
      </c>
      <c r="H25" s="54"/>
    </row>
    <row r="26" spans="1:8" hidden="1" x14ac:dyDescent="0.25">
      <c r="A26" s="1" t="str">
        <f t="shared" si="0"/>
        <v>107</v>
      </c>
      <c r="B26" s="1">
        <v>10</v>
      </c>
      <c r="C26" s="39" t="str">
        <f>IFERROR(VLOOKUP(A26,Registros!$A$6:$N$114,10,0),"")</f>
        <v/>
      </c>
      <c r="D26" s="40" t="str">
        <f>IFERROR(VLOOKUP(A26,Registros!$A$6:$N$114,11,0),"")</f>
        <v/>
      </c>
      <c r="E26" s="40" t="str">
        <f>IFERROR(VLOOKUP(A26,Registros!$A$6:$N$114,12,0),"")</f>
        <v/>
      </c>
      <c r="F26" s="40" t="str">
        <f>IFERROR(VLOOKUP(A26,Registros!$A$6:$N$114,13,0),"")</f>
        <v/>
      </c>
      <c r="G26" s="41" t="str">
        <f t="shared" si="1"/>
        <v/>
      </c>
      <c r="H26" s="54"/>
    </row>
    <row r="27" spans="1:8" hidden="1" x14ac:dyDescent="0.25">
      <c r="A27" s="1" t="str">
        <f t="shared" si="0"/>
        <v>117</v>
      </c>
      <c r="B27" s="1">
        <v>11</v>
      </c>
      <c r="C27" s="39" t="str">
        <f>IFERROR(VLOOKUP(A27,Registros!$A$6:$N$114,10,0),"")</f>
        <v/>
      </c>
      <c r="D27" s="40" t="str">
        <f>IFERROR(VLOOKUP(A27,Registros!$A$6:$N$114,11,0),"")</f>
        <v/>
      </c>
      <c r="E27" s="40" t="str">
        <f>IFERROR(VLOOKUP(A27,Registros!$A$6:$N$114,12,0),"")</f>
        <v/>
      </c>
      <c r="F27" s="40" t="str">
        <f>IFERROR(VLOOKUP(A27,Registros!$A$6:$N$114,13,0),"")</f>
        <v/>
      </c>
      <c r="G27" s="41" t="str">
        <f t="shared" si="1"/>
        <v/>
      </c>
      <c r="H27" s="54"/>
    </row>
    <row r="28" spans="1:8" hidden="1" x14ac:dyDescent="0.25">
      <c r="A28" s="1" t="str">
        <f t="shared" si="0"/>
        <v>127</v>
      </c>
      <c r="B28" s="1">
        <v>12</v>
      </c>
      <c r="C28" s="39" t="str">
        <f>IFERROR(VLOOKUP(A28,Registros!$A$6:$N$114,10,0),"")</f>
        <v/>
      </c>
      <c r="D28" s="40" t="str">
        <f>IFERROR(VLOOKUP(A28,Registros!$A$6:$N$114,11,0),"")</f>
        <v/>
      </c>
      <c r="E28" s="40" t="str">
        <f>IFERROR(VLOOKUP(A28,Registros!$A$6:$N$114,12,0),"")</f>
        <v/>
      </c>
      <c r="F28" s="40" t="str">
        <f>IFERROR(VLOOKUP(A28,Registros!$A$6:$N$114,13,0),"")</f>
        <v/>
      </c>
      <c r="G28" s="41" t="str">
        <f t="shared" si="1"/>
        <v/>
      </c>
      <c r="H28" s="54"/>
    </row>
    <row r="29" spans="1:8" x14ac:dyDescent="0.25">
      <c r="C29" s="19"/>
      <c r="D29" s="20"/>
      <c r="E29" s="5"/>
      <c r="F29" s="21"/>
      <c r="G29" s="22"/>
      <c r="H29" s="55"/>
    </row>
    <row r="30" spans="1:8" x14ac:dyDescent="0.25">
      <c r="C30" s="19"/>
      <c r="D30" s="5"/>
      <c r="E30" s="5"/>
      <c r="F30" s="23" t="s">
        <v>12</v>
      </c>
      <c r="G30" s="96">
        <f>SUM(G17:G28)</f>
        <v>0</v>
      </c>
      <c r="H30" s="56"/>
    </row>
    <row r="31" spans="1:8" x14ac:dyDescent="0.25">
      <c r="C31" s="19"/>
      <c r="D31" s="5"/>
      <c r="E31" s="24"/>
      <c r="F31" s="23" t="s">
        <v>13</v>
      </c>
      <c r="G31" s="97">
        <f>G30*H31</f>
        <v>0</v>
      </c>
      <c r="H31" s="98">
        <v>0.01</v>
      </c>
    </row>
    <row r="32" spans="1:8" x14ac:dyDescent="0.25">
      <c r="C32" s="19"/>
      <c r="D32" s="5"/>
      <c r="E32" s="5"/>
      <c r="F32" s="23" t="s">
        <v>12</v>
      </c>
      <c r="G32" s="96">
        <f>G30-G31</f>
        <v>0</v>
      </c>
      <c r="H32" s="56"/>
    </row>
    <row r="33" spans="3:8" x14ac:dyDescent="0.25">
      <c r="C33" s="19"/>
      <c r="D33" s="5"/>
      <c r="E33" s="24"/>
      <c r="F33" s="23" t="s">
        <v>30</v>
      </c>
      <c r="G33" s="97">
        <f>G32*H33</f>
        <v>0</v>
      </c>
      <c r="H33" s="98">
        <v>0.16</v>
      </c>
    </row>
    <row r="34" spans="3:8" x14ac:dyDescent="0.25">
      <c r="C34" s="19"/>
      <c r="D34" s="5"/>
      <c r="E34" s="5"/>
      <c r="F34" s="23" t="s">
        <v>14</v>
      </c>
      <c r="G34" s="96">
        <f>G32+G33</f>
        <v>0</v>
      </c>
      <c r="H34" s="56"/>
    </row>
    <row r="35" spans="3:8" x14ac:dyDescent="0.25">
      <c r="C35" s="19"/>
      <c r="D35" s="5"/>
      <c r="E35" s="5"/>
      <c r="F35" s="23" t="s">
        <v>32</v>
      </c>
      <c r="G35" s="99"/>
      <c r="H35" s="57"/>
    </row>
    <row r="36" spans="3:8" x14ac:dyDescent="0.25">
      <c r="C36" s="19"/>
      <c r="D36" s="5"/>
      <c r="E36" s="5"/>
      <c r="F36" s="23" t="s">
        <v>31</v>
      </c>
      <c r="G36" s="100">
        <f>G35-G34</f>
        <v>0</v>
      </c>
      <c r="H36" s="57"/>
    </row>
    <row r="37" spans="3:8" x14ac:dyDescent="0.25">
      <c r="C37" s="19"/>
      <c r="D37" s="5"/>
      <c r="E37" s="5"/>
      <c r="F37" s="30"/>
      <c r="G37" s="45"/>
      <c r="H37" s="57"/>
    </row>
    <row r="38" spans="3:8" x14ac:dyDescent="0.25">
      <c r="C38" s="19"/>
      <c r="D38" s="5"/>
      <c r="E38" s="5"/>
      <c r="F38" s="5"/>
      <c r="G38" s="18"/>
      <c r="H38" s="49"/>
    </row>
    <row r="39" spans="3:8" x14ac:dyDescent="0.25">
      <c r="C39" s="19"/>
      <c r="D39" s="5"/>
      <c r="E39" s="5"/>
      <c r="F39" s="5"/>
      <c r="G39" s="18"/>
      <c r="H39" s="49"/>
    </row>
    <row r="40" spans="3:8" x14ac:dyDescent="0.25">
      <c r="C40" s="25" t="s">
        <v>15</v>
      </c>
      <c r="D40" s="26"/>
      <c r="E40" s="5"/>
      <c r="F40" s="27" t="s">
        <v>16</v>
      </c>
      <c r="G40" s="28"/>
      <c r="H40" s="49"/>
    </row>
    <row r="41" spans="3:8" x14ac:dyDescent="0.25">
      <c r="C41" s="29" t="s">
        <v>17</v>
      </c>
      <c r="D41" s="5"/>
      <c r="E41" s="5"/>
      <c r="F41" s="30" t="s">
        <v>18</v>
      </c>
      <c r="G41" s="18"/>
      <c r="H41" s="49"/>
    </row>
    <row r="42" spans="3:8" x14ac:dyDescent="0.25">
      <c r="C42" s="29"/>
      <c r="D42" s="5"/>
      <c r="E42" s="5"/>
      <c r="F42" s="30"/>
      <c r="G42" s="18"/>
      <c r="H42" s="49"/>
    </row>
    <row r="43" spans="3:8" x14ac:dyDescent="0.25">
      <c r="C43" s="29" t="s">
        <v>19</v>
      </c>
      <c r="D43" s="5"/>
      <c r="E43" s="5"/>
      <c r="F43" s="30"/>
      <c r="G43" s="18"/>
      <c r="H43" s="49"/>
    </row>
    <row r="44" spans="3:8" x14ac:dyDescent="0.25">
      <c r="C44" s="80"/>
      <c r="D44" s="81"/>
      <c r="E44" s="81"/>
      <c r="F44" s="81"/>
      <c r="G44" s="82"/>
      <c r="H44" s="58"/>
    </row>
    <row r="45" spans="3:8" ht="15.75" thickBot="1" x14ac:dyDescent="0.3">
      <c r="C45" s="31"/>
      <c r="D45" s="32"/>
      <c r="E45" s="32"/>
      <c r="F45" s="32"/>
      <c r="G45" s="33"/>
      <c r="H45" s="49"/>
    </row>
  </sheetData>
  <autoFilter ref="C16:G28">
    <filterColumn colId="0">
      <customFilters>
        <customFilter operator="notEqual" val=" "/>
      </customFilters>
    </filterColumn>
  </autoFilter>
  <mergeCells count="4">
    <mergeCell ref="D8:F8"/>
    <mergeCell ref="D9:F9"/>
    <mergeCell ref="D10:F10"/>
    <mergeCell ref="C44:G44"/>
  </mergeCells>
  <pageMargins left="1.2204724409448819" right="0.23622047244094491" top="0.55118110236220474" bottom="0.74803149606299213" header="0.31496062992125984" footer="0.31496062992125984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UEVAFACTURA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GISTRO">
                <anchor moveWithCells="1" sizeWithCells="1">
                  <from>
                    <xdr:col>6</xdr:col>
                    <xdr:colOff>0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MPRIMIR">
                <anchor moveWithCells="1" siz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5</xdr:col>
                    <xdr:colOff>762000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LIMIN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GREGAROTROPROD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25"/>
  <sheetViews>
    <sheetView workbookViewId="0">
      <selection activeCell="H12" sqref="H12"/>
    </sheetView>
  </sheetViews>
  <sheetFormatPr baseColWidth="10" defaultRowHeight="15" x14ac:dyDescent="0.25"/>
  <cols>
    <col min="1" max="1" width="11.42578125" style="42"/>
    <col min="2" max="2" width="23.5703125" customWidth="1"/>
    <col min="5" max="5" width="11.42578125" style="44"/>
  </cols>
  <sheetData>
    <row r="1" spans="1:8" x14ac:dyDescent="0.25">
      <c r="A1" s="84"/>
      <c r="B1" s="85"/>
      <c r="C1" s="85"/>
      <c r="D1" s="85"/>
      <c r="E1" s="85"/>
      <c r="F1" s="86"/>
    </row>
    <row r="2" spans="1:8" x14ac:dyDescent="0.25">
      <c r="A2" s="87"/>
      <c r="B2" s="88"/>
      <c r="C2" s="88"/>
      <c r="D2" s="88"/>
      <c r="E2" s="88"/>
      <c r="F2" s="89"/>
    </row>
    <row r="3" spans="1:8" s="43" customFormat="1" x14ac:dyDescent="0.25">
      <c r="A3" s="87"/>
      <c r="B3" s="88"/>
      <c r="C3" s="88"/>
      <c r="D3" s="88"/>
      <c r="E3" s="88"/>
      <c r="F3" s="89"/>
    </row>
    <row r="4" spans="1:8" ht="15.75" thickBot="1" x14ac:dyDescent="0.3">
      <c r="A4" s="90"/>
      <c r="B4" s="91"/>
      <c r="C4" s="91"/>
      <c r="D4" s="91"/>
      <c r="E4" s="91"/>
      <c r="F4" s="92"/>
    </row>
    <row r="5" spans="1:8" x14ac:dyDescent="0.25">
      <c r="A5" s="102" t="s">
        <v>7</v>
      </c>
      <c r="B5" s="102" t="s">
        <v>8</v>
      </c>
      <c r="C5" s="102" t="s">
        <v>10</v>
      </c>
      <c r="D5" s="102" t="s">
        <v>51</v>
      </c>
      <c r="E5" s="102" t="s">
        <v>53</v>
      </c>
      <c r="F5" s="102" t="s">
        <v>50</v>
      </c>
    </row>
    <row r="6" spans="1:8" x14ac:dyDescent="0.25">
      <c r="A6" s="42">
        <v>100</v>
      </c>
      <c r="B6" t="s">
        <v>61</v>
      </c>
      <c r="C6">
        <v>5</v>
      </c>
      <c r="D6">
        <v>1000</v>
      </c>
      <c r="E6" s="44">
        <f>SUMIF(Registros!$J$6:$J$103,A6,Registros!$L$6:$L$103)</f>
        <v>510</v>
      </c>
      <c r="F6" s="103">
        <f>D6-E6</f>
        <v>490</v>
      </c>
      <c r="H6" s="44"/>
    </row>
    <row r="7" spans="1:8" x14ac:dyDescent="0.25">
      <c r="A7" s="42">
        <v>101</v>
      </c>
      <c r="B7" t="s">
        <v>62</v>
      </c>
      <c r="C7">
        <v>10</v>
      </c>
      <c r="D7">
        <v>1000</v>
      </c>
      <c r="E7" s="44">
        <f>SUMIF(Registros!$J$6:$J$103,A7,Registros!$L$6:$L$103)</f>
        <v>999</v>
      </c>
      <c r="F7" s="103">
        <v>23</v>
      </c>
    </row>
    <row r="8" spans="1:8" x14ac:dyDescent="0.25">
      <c r="A8" s="42">
        <v>102</v>
      </c>
      <c r="B8" t="s">
        <v>63</v>
      </c>
      <c r="C8">
        <v>5</v>
      </c>
      <c r="D8">
        <v>1000</v>
      </c>
      <c r="E8" s="44">
        <f>SUMIF(Registros!$J$6:$J$103,A8,Registros!$L$6:$L$103)</f>
        <v>1000</v>
      </c>
      <c r="F8" s="103">
        <v>23</v>
      </c>
    </row>
    <row r="9" spans="1:8" x14ac:dyDescent="0.25">
      <c r="A9" s="42">
        <v>103</v>
      </c>
      <c r="B9" t="s">
        <v>65</v>
      </c>
      <c r="C9">
        <v>5</v>
      </c>
      <c r="D9" s="44">
        <v>1000</v>
      </c>
      <c r="E9" s="44">
        <f>SUMIF(Registros!$J$6:$J$103,A9,Registros!$L$6:$L$103)</f>
        <v>32</v>
      </c>
      <c r="F9" s="103">
        <f t="shared" ref="F7:F10" si="0">D9-E9</f>
        <v>968</v>
      </c>
    </row>
    <row r="10" spans="1:8" x14ac:dyDescent="0.25">
      <c r="A10" s="70">
        <v>104</v>
      </c>
      <c r="B10" t="s">
        <v>64</v>
      </c>
      <c r="C10">
        <v>5</v>
      </c>
      <c r="D10" s="78">
        <v>1000</v>
      </c>
      <c r="E10" s="44">
        <f>SUMIF(Registros!$J$6:$J$103,A10,Registros!$L$6:$L$103)</f>
        <v>50</v>
      </c>
      <c r="F10" s="103">
        <f t="shared" si="0"/>
        <v>950</v>
      </c>
    </row>
    <row r="11" spans="1:8" x14ac:dyDescent="0.25">
      <c r="D11" s="78"/>
      <c r="E11"/>
    </row>
    <row r="12" spans="1:8" x14ac:dyDescent="0.25">
      <c r="D12" s="78"/>
      <c r="E12"/>
    </row>
    <row r="13" spans="1:8" x14ac:dyDescent="0.25">
      <c r="D13" s="78"/>
      <c r="E13"/>
    </row>
    <row r="14" spans="1:8" x14ac:dyDescent="0.25">
      <c r="D14" s="78"/>
      <c r="E14"/>
    </row>
    <row r="15" spans="1:8" x14ac:dyDescent="0.25">
      <c r="D15" s="78"/>
      <c r="E15"/>
    </row>
    <row r="16" spans="1:8" x14ac:dyDescent="0.25">
      <c r="D16" s="78"/>
      <c r="E16"/>
    </row>
    <row r="17" spans="4:5" x14ac:dyDescent="0.25">
      <c r="D17" s="78"/>
      <c r="E17"/>
    </row>
    <row r="18" spans="4:5" x14ac:dyDescent="0.25">
      <c r="D18" s="78"/>
      <c r="E18"/>
    </row>
    <row r="19" spans="4:5" x14ac:dyDescent="0.25">
      <c r="D19" s="78"/>
      <c r="E19"/>
    </row>
    <row r="20" spans="4:5" x14ac:dyDescent="0.25">
      <c r="D20" s="78"/>
      <c r="E20"/>
    </row>
    <row r="21" spans="4:5" x14ac:dyDescent="0.25">
      <c r="D21" s="78"/>
      <c r="E21"/>
    </row>
    <row r="22" spans="4:5" x14ac:dyDescent="0.25">
      <c r="E22"/>
    </row>
    <row r="23" spans="4:5" x14ac:dyDescent="0.25">
      <c r="E23"/>
    </row>
    <row r="24" spans="4:5" x14ac:dyDescent="0.25">
      <c r="E24"/>
    </row>
    <row r="25" spans="4:5" x14ac:dyDescent="0.25">
      <c r="E25"/>
    </row>
  </sheetData>
  <conditionalFormatting sqref="F6:F10">
    <cfRule type="cellIs" dxfId="0" priority="1" operator="notBetween">
      <formula>1</formula>
      <formula>$D$6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GISTRAR">
                <anchor moveWithCells="1" sizeWithCells="1">
                  <from>
                    <xdr:col>2</xdr:col>
                    <xdr:colOff>0</xdr:colOff>
                    <xdr:row>1</xdr:row>
                    <xdr:rowOff>38100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9"/>
  <sheetViews>
    <sheetView workbookViewId="0">
      <selection activeCell="G11" sqref="G11"/>
    </sheetView>
  </sheetViews>
  <sheetFormatPr baseColWidth="10" defaultRowHeight="15" x14ac:dyDescent="0.25"/>
  <cols>
    <col min="1" max="1" width="17.28515625" customWidth="1"/>
    <col min="2" max="2" width="10.85546875" style="61" bestFit="1" customWidth="1"/>
    <col min="3" max="3" width="21.28515625" customWidth="1"/>
    <col min="4" max="4" width="14.5703125" customWidth="1"/>
    <col min="5" max="5" width="14.85546875" customWidth="1"/>
  </cols>
  <sheetData>
    <row r="1" spans="1:5" x14ac:dyDescent="0.25">
      <c r="A1" s="84"/>
      <c r="B1" s="85"/>
      <c r="C1" s="85"/>
      <c r="D1" s="85"/>
      <c r="E1" s="86"/>
    </row>
    <row r="2" spans="1:5" x14ac:dyDescent="0.25">
      <c r="A2" s="87"/>
      <c r="B2" s="88"/>
      <c r="C2" s="88"/>
      <c r="D2" s="88"/>
      <c r="E2" s="89"/>
    </row>
    <row r="3" spans="1:5" x14ac:dyDescent="0.25">
      <c r="A3" s="87"/>
      <c r="B3" s="88"/>
      <c r="C3" s="88"/>
      <c r="D3" s="88"/>
      <c r="E3" s="89"/>
    </row>
    <row r="4" spans="1:5" ht="15.75" thickBot="1" x14ac:dyDescent="0.3">
      <c r="A4" s="90"/>
      <c r="B4" s="91"/>
      <c r="C4" s="91"/>
      <c r="D4" s="91"/>
      <c r="E4" s="92"/>
    </row>
    <row r="5" spans="1:5" x14ac:dyDescent="0.25">
      <c r="A5" s="101" t="s">
        <v>20</v>
      </c>
      <c r="B5" s="101" t="s">
        <v>23</v>
      </c>
      <c r="C5" s="101" t="s">
        <v>21</v>
      </c>
      <c r="D5" s="101" t="s">
        <v>22</v>
      </c>
      <c r="E5" s="101" t="s">
        <v>74</v>
      </c>
    </row>
    <row r="6" spans="1:5" x14ac:dyDescent="0.25">
      <c r="A6" t="s">
        <v>66</v>
      </c>
      <c r="B6" s="61">
        <v>1</v>
      </c>
      <c r="C6" t="s">
        <v>24</v>
      </c>
      <c r="D6" t="s">
        <v>70</v>
      </c>
      <c r="E6" t="s">
        <v>75</v>
      </c>
    </row>
    <row r="7" spans="1:5" x14ac:dyDescent="0.25">
      <c r="A7" t="s">
        <v>67</v>
      </c>
      <c r="B7" s="61">
        <v>2</v>
      </c>
      <c r="C7" t="s">
        <v>25</v>
      </c>
      <c r="D7" s="44" t="s">
        <v>71</v>
      </c>
      <c r="E7" s="44" t="s">
        <v>77</v>
      </c>
    </row>
    <row r="8" spans="1:5" x14ac:dyDescent="0.25">
      <c r="A8" t="s">
        <v>68</v>
      </c>
      <c r="B8" s="61">
        <v>3</v>
      </c>
      <c r="C8" t="s">
        <v>26</v>
      </c>
      <c r="D8" s="44" t="s">
        <v>72</v>
      </c>
      <c r="E8" s="44" t="s">
        <v>76</v>
      </c>
    </row>
    <row r="9" spans="1:5" x14ac:dyDescent="0.25">
      <c r="A9" t="s">
        <v>69</v>
      </c>
      <c r="B9" s="61">
        <v>4</v>
      </c>
      <c r="C9" t="s">
        <v>39</v>
      </c>
      <c r="D9" s="44" t="s">
        <v>73</v>
      </c>
      <c r="E9" s="44" t="s">
        <v>78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GISTRAR">
                <anchor moveWithCells="1" sizeWithCells="1">
                  <from>
                    <xdr:col>1</xdr:col>
                    <xdr:colOff>533400</xdr:colOff>
                    <xdr:row>0</xdr:row>
                    <xdr:rowOff>180975</xdr:rowOff>
                  </from>
                  <to>
                    <xdr:col>2</xdr:col>
                    <xdr:colOff>800100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N27"/>
  <sheetViews>
    <sheetView topLeftCell="A5" workbookViewId="0">
      <selection activeCell="D27" sqref="D27"/>
    </sheetView>
  </sheetViews>
  <sheetFormatPr baseColWidth="10" defaultRowHeight="15" x14ac:dyDescent="0.25"/>
  <cols>
    <col min="3" max="3" width="12.140625" style="63" bestFit="1" customWidth="1"/>
    <col min="5" max="5" width="11.42578125" style="61"/>
    <col min="6" max="6" width="20.140625" customWidth="1"/>
    <col min="8" max="8" width="12.42578125" customWidth="1"/>
    <col min="9" max="9" width="18.28515625" style="44" customWidth="1"/>
  </cols>
  <sheetData>
    <row r="1" spans="1:14" x14ac:dyDescent="0.25">
      <c r="A1" s="46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8"/>
    </row>
    <row r="2" spans="1:14" x14ac:dyDescent="0.25">
      <c r="A2" s="87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9"/>
    </row>
    <row r="3" spans="1:14" x14ac:dyDescent="0.25">
      <c r="A3" s="87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9"/>
    </row>
    <row r="4" spans="1:14" ht="15.75" thickBot="1" x14ac:dyDescent="0.3">
      <c r="A4" s="90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2"/>
    </row>
    <row r="5" spans="1:14" x14ac:dyDescent="0.25">
      <c r="A5" s="104" t="s">
        <v>29</v>
      </c>
      <c r="B5" s="105" t="s">
        <v>27</v>
      </c>
      <c r="C5" s="104" t="s">
        <v>0</v>
      </c>
      <c r="D5" s="104" t="s">
        <v>2</v>
      </c>
      <c r="E5" s="104" t="s">
        <v>28</v>
      </c>
      <c r="F5" s="106" t="s">
        <v>20</v>
      </c>
      <c r="G5" s="106" t="s">
        <v>21</v>
      </c>
      <c r="H5" s="106" t="s">
        <v>22</v>
      </c>
      <c r="I5" s="104" t="s">
        <v>74</v>
      </c>
      <c r="J5" s="104" t="s">
        <v>7</v>
      </c>
      <c r="K5" s="104" t="s">
        <v>8</v>
      </c>
      <c r="L5" s="104" t="s">
        <v>9</v>
      </c>
      <c r="M5" s="104" t="s">
        <v>10</v>
      </c>
      <c r="N5" s="104" t="s">
        <v>11</v>
      </c>
    </row>
    <row r="6" spans="1:14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</row>
    <row r="7" spans="1:14" x14ac:dyDescent="0.25">
      <c r="A7" s="71" t="s">
        <v>60</v>
      </c>
      <c r="B7" s="71" t="s">
        <v>33</v>
      </c>
      <c r="C7" s="72">
        <v>7</v>
      </c>
      <c r="D7" s="73">
        <v>42845</v>
      </c>
      <c r="E7" s="74" t="s">
        <v>59</v>
      </c>
      <c r="F7" s="71"/>
      <c r="G7" s="71" t="s">
        <v>59</v>
      </c>
      <c r="H7" s="71" t="s">
        <v>59</v>
      </c>
      <c r="I7" s="71" t="s">
        <v>59</v>
      </c>
      <c r="J7" s="71"/>
      <c r="K7" s="71" t="s">
        <v>59</v>
      </c>
      <c r="L7" s="71"/>
      <c r="M7" s="71" t="s">
        <v>59</v>
      </c>
      <c r="N7" s="71" t="s">
        <v>59</v>
      </c>
    </row>
    <row r="8" spans="1:14" x14ac:dyDescent="0.25">
      <c r="A8" s="65" t="s">
        <v>58</v>
      </c>
      <c r="B8" s="65">
        <v>2</v>
      </c>
      <c r="C8" s="66">
        <v>6</v>
      </c>
      <c r="D8" s="67">
        <v>42134</v>
      </c>
      <c r="E8" s="68">
        <v>4</v>
      </c>
      <c r="F8" s="65" t="s">
        <v>69</v>
      </c>
      <c r="G8" s="65" t="s">
        <v>83</v>
      </c>
      <c r="H8" s="71" t="s">
        <v>73</v>
      </c>
      <c r="I8" s="71" t="s">
        <v>78</v>
      </c>
      <c r="J8" s="65">
        <v>102</v>
      </c>
      <c r="K8" s="71" t="s">
        <v>63</v>
      </c>
      <c r="L8" s="65">
        <v>964</v>
      </c>
      <c r="M8" s="65">
        <v>40</v>
      </c>
      <c r="N8" s="65">
        <v>38560</v>
      </c>
    </row>
    <row r="9" spans="1:14" x14ac:dyDescent="0.25">
      <c r="A9" s="65" t="s">
        <v>57</v>
      </c>
      <c r="B9" s="65" t="s">
        <v>33</v>
      </c>
      <c r="C9" s="66">
        <v>6</v>
      </c>
      <c r="D9" s="67">
        <v>42134</v>
      </c>
      <c r="E9" s="68">
        <v>4</v>
      </c>
      <c r="F9" s="65" t="s">
        <v>69</v>
      </c>
      <c r="G9" s="65" t="s">
        <v>83</v>
      </c>
      <c r="H9" s="71" t="s">
        <v>73</v>
      </c>
      <c r="I9" s="71" t="s">
        <v>78</v>
      </c>
      <c r="J9" s="65">
        <v>101</v>
      </c>
      <c r="K9" s="71" t="s">
        <v>62</v>
      </c>
      <c r="L9" s="65">
        <v>499</v>
      </c>
      <c r="M9" s="65">
        <v>200</v>
      </c>
      <c r="N9" s="65">
        <v>99800</v>
      </c>
    </row>
    <row r="10" spans="1:14" x14ac:dyDescent="0.25">
      <c r="A10" s="65" t="s">
        <v>55</v>
      </c>
      <c r="B10" s="65">
        <v>3</v>
      </c>
      <c r="C10" s="66">
        <v>5</v>
      </c>
      <c r="D10" s="67">
        <v>42133</v>
      </c>
      <c r="E10" s="68">
        <v>3</v>
      </c>
      <c r="F10" s="65" t="s">
        <v>68</v>
      </c>
      <c r="G10" s="65" t="s">
        <v>84</v>
      </c>
      <c r="H10" s="71" t="s">
        <v>72</v>
      </c>
      <c r="I10" s="71" t="s">
        <v>76</v>
      </c>
      <c r="J10" s="65">
        <v>100</v>
      </c>
      <c r="K10" s="71" t="s">
        <v>79</v>
      </c>
      <c r="L10" s="65">
        <v>10</v>
      </c>
      <c r="M10" s="65">
        <v>60</v>
      </c>
      <c r="N10" s="65">
        <v>600</v>
      </c>
    </row>
    <row r="11" spans="1:14" x14ac:dyDescent="0.25">
      <c r="A11" s="65" t="s">
        <v>54</v>
      </c>
      <c r="B11" s="65">
        <v>2</v>
      </c>
      <c r="C11" s="66">
        <v>5</v>
      </c>
      <c r="D11" s="67">
        <v>42131</v>
      </c>
      <c r="E11" s="68">
        <v>3</v>
      </c>
      <c r="F11" s="65" t="s">
        <v>68</v>
      </c>
      <c r="G11" s="65" t="s">
        <v>84</v>
      </c>
      <c r="H11" s="71" t="s">
        <v>72</v>
      </c>
      <c r="I11" s="71" t="s">
        <v>76</v>
      </c>
      <c r="J11" s="65">
        <v>101</v>
      </c>
      <c r="K11" s="71" t="s">
        <v>62</v>
      </c>
      <c r="L11" s="65">
        <v>478</v>
      </c>
      <c r="M11" s="65">
        <v>200</v>
      </c>
      <c r="N11" s="65">
        <v>95600</v>
      </c>
    </row>
    <row r="12" spans="1:14" x14ac:dyDescent="0.25">
      <c r="A12" s="65" t="s">
        <v>52</v>
      </c>
      <c r="B12" s="65" t="s">
        <v>33</v>
      </c>
      <c r="C12" s="66">
        <v>5</v>
      </c>
      <c r="D12" s="67">
        <v>42130</v>
      </c>
      <c r="E12" s="68">
        <v>4</v>
      </c>
      <c r="F12" s="65" t="s">
        <v>69</v>
      </c>
      <c r="G12" s="65" t="s">
        <v>83</v>
      </c>
      <c r="H12" s="71" t="s">
        <v>73</v>
      </c>
      <c r="I12" s="71" t="s">
        <v>78</v>
      </c>
      <c r="J12" s="65">
        <v>100</v>
      </c>
      <c r="K12" s="71" t="s">
        <v>79</v>
      </c>
      <c r="L12" s="65">
        <v>482</v>
      </c>
      <c r="M12" s="65">
        <v>60</v>
      </c>
      <c r="N12" s="65">
        <v>28920</v>
      </c>
    </row>
    <row r="13" spans="1:14" x14ac:dyDescent="0.25">
      <c r="A13" s="65" t="s">
        <v>49</v>
      </c>
      <c r="B13" s="65">
        <v>5</v>
      </c>
      <c r="C13" s="66">
        <v>4</v>
      </c>
      <c r="D13" s="67">
        <v>42112</v>
      </c>
      <c r="E13" s="68">
        <v>1</v>
      </c>
      <c r="F13" s="65" t="s">
        <v>66</v>
      </c>
      <c r="G13" s="65" t="s">
        <v>85</v>
      </c>
      <c r="H13" s="71" t="s">
        <v>70</v>
      </c>
      <c r="I13" s="71" t="s">
        <v>75</v>
      </c>
      <c r="J13" s="65">
        <v>104</v>
      </c>
      <c r="K13" s="71" t="s">
        <v>64</v>
      </c>
      <c r="L13" s="65">
        <v>40</v>
      </c>
      <c r="M13" s="65">
        <v>30</v>
      </c>
      <c r="N13" s="65">
        <v>1200</v>
      </c>
    </row>
    <row r="14" spans="1:14" x14ac:dyDescent="0.25">
      <c r="A14" s="65" t="s">
        <v>48</v>
      </c>
      <c r="B14" s="65">
        <v>4</v>
      </c>
      <c r="C14" s="66">
        <v>4</v>
      </c>
      <c r="D14" s="67">
        <v>42112</v>
      </c>
      <c r="E14" s="68">
        <v>1</v>
      </c>
      <c r="F14" s="65" t="s">
        <v>66</v>
      </c>
      <c r="G14" s="65" t="s">
        <v>85</v>
      </c>
      <c r="H14" s="71" t="s">
        <v>70</v>
      </c>
      <c r="I14" s="71" t="s">
        <v>75</v>
      </c>
      <c r="J14" s="65">
        <v>103</v>
      </c>
      <c r="K14" s="71" t="s">
        <v>65</v>
      </c>
      <c r="L14" s="65">
        <v>30</v>
      </c>
      <c r="M14" s="65">
        <v>5</v>
      </c>
      <c r="N14" s="65">
        <v>150</v>
      </c>
    </row>
    <row r="15" spans="1:14" x14ac:dyDescent="0.25">
      <c r="A15" s="65" t="s">
        <v>47</v>
      </c>
      <c r="B15" s="65">
        <v>3</v>
      </c>
      <c r="C15" s="66">
        <v>4</v>
      </c>
      <c r="D15" s="67">
        <v>42112</v>
      </c>
      <c r="E15" s="68">
        <v>1</v>
      </c>
      <c r="F15" s="65" t="s">
        <v>66</v>
      </c>
      <c r="G15" s="65" t="s">
        <v>85</v>
      </c>
      <c r="H15" s="71" t="s">
        <v>70</v>
      </c>
      <c r="I15" s="71" t="s">
        <v>75</v>
      </c>
      <c r="J15" s="65">
        <v>102</v>
      </c>
      <c r="K15" s="71" t="s">
        <v>63</v>
      </c>
      <c r="L15" s="65">
        <v>30</v>
      </c>
      <c r="M15" s="65">
        <v>40</v>
      </c>
      <c r="N15" s="65">
        <v>1200</v>
      </c>
    </row>
    <row r="16" spans="1:14" x14ac:dyDescent="0.25">
      <c r="A16" s="65" t="s">
        <v>46</v>
      </c>
      <c r="B16" s="65">
        <v>2</v>
      </c>
      <c r="C16" s="66">
        <v>4</v>
      </c>
      <c r="D16" s="67">
        <v>42112</v>
      </c>
      <c r="E16" s="68">
        <v>1</v>
      </c>
      <c r="F16" s="65" t="s">
        <v>66</v>
      </c>
      <c r="G16" s="65" t="s">
        <v>85</v>
      </c>
      <c r="H16" s="71" t="s">
        <v>70</v>
      </c>
      <c r="I16" s="71" t="s">
        <v>75</v>
      </c>
      <c r="J16" s="65">
        <v>101</v>
      </c>
      <c r="K16" s="71" t="s">
        <v>62</v>
      </c>
      <c r="L16" s="65">
        <v>20</v>
      </c>
      <c r="M16" s="65">
        <v>200</v>
      </c>
      <c r="N16" s="65">
        <v>4000</v>
      </c>
    </row>
    <row r="17" spans="1:14" x14ac:dyDescent="0.25">
      <c r="A17" s="65" t="s">
        <v>45</v>
      </c>
      <c r="B17" s="65" t="s">
        <v>33</v>
      </c>
      <c r="C17" s="66">
        <v>4</v>
      </c>
      <c r="D17" s="67">
        <v>42112</v>
      </c>
      <c r="E17" s="68">
        <v>1</v>
      </c>
      <c r="F17" s="65" t="s">
        <v>66</v>
      </c>
      <c r="G17" s="65" t="s">
        <v>85</v>
      </c>
      <c r="H17" s="71" t="s">
        <v>70</v>
      </c>
      <c r="I17" s="71" t="s">
        <v>75</v>
      </c>
      <c r="J17" s="65">
        <v>100</v>
      </c>
      <c r="K17" s="71" t="s">
        <v>79</v>
      </c>
      <c r="L17" s="65">
        <v>10</v>
      </c>
      <c r="M17" s="65">
        <v>60</v>
      </c>
      <c r="N17" s="65">
        <v>600</v>
      </c>
    </row>
    <row r="18" spans="1:14" x14ac:dyDescent="0.25">
      <c r="A18" s="65" t="s">
        <v>44</v>
      </c>
      <c r="B18" s="65">
        <v>5</v>
      </c>
      <c r="C18" s="66">
        <v>3</v>
      </c>
      <c r="D18" s="67">
        <v>41960</v>
      </c>
      <c r="E18" s="68">
        <v>4</v>
      </c>
      <c r="F18" s="65" t="s">
        <v>69</v>
      </c>
      <c r="G18" s="65" t="s">
        <v>83</v>
      </c>
      <c r="H18" s="71" t="s">
        <v>73</v>
      </c>
      <c r="I18" s="71" t="s">
        <v>78</v>
      </c>
      <c r="J18" s="65">
        <v>104</v>
      </c>
      <c r="K18" s="71" t="s">
        <v>64</v>
      </c>
      <c r="L18" s="65">
        <v>10</v>
      </c>
      <c r="M18" s="65">
        <v>30</v>
      </c>
      <c r="N18" s="65">
        <v>300</v>
      </c>
    </row>
    <row r="19" spans="1:14" x14ac:dyDescent="0.25">
      <c r="A19" s="65" t="s">
        <v>43</v>
      </c>
      <c r="B19" s="65">
        <v>4</v>
      </c>
      <c r="C19" s="66">
        <v>3</v>
      </c>
      <c r="D19" s="67">
        <v>41960</v>
      </c>
      <c r="E19" s="68">
        <v>4</v>
      </c>
      <c r="F19" s="65" t="s">
        <v>69</v>
      </c>
      <c r="G19" s="65" t="s">
        <v>83</v>
      </c>
      <c r="H19" s="71" t="s">
        <v>73</v>
      </c>
      <c r="I19" s="71" t="s">
        <v>78</v>
      </c>
      <c r="J19" s="65">
        <v>103</v>
      </c>
      <c r="K19" s="71" t="s">
        <v>65</v>
      </c>
      <c r="L19" s="65">
        <v>2</v>
      </c>
      <c r="M19" s="65">
        <v>5</v>
      </c>
      <c r="N19" s="65">
        <v>10</v>
      </c>
    </row>
    <row r="20" spans="1:14" x14ac:dyDescent="0.25">
      <c r="A20" s="65" t="s">
        <v>42</v>
      </c>
      <c r="B20" s="65">
        <v>3</v>
      </c>
      <c r="C20" s="66">
        <v>3</v>
      </c>
      <c r="D20" s="67">
        <v>41960</v>
      </c>
      <c r="E20" s="68">
        <v>4</v>
      </c>
      <c r="F20" s="65" t="s">
        <v>69</v>
      </c>
      <c r="G20" s="65" t="s">
        <v>83</v>
      </c>
      <c r="H20" s="71" t="s">
        <v>73</v>
      </c>
      <c r="I20" s="71" t="s">
        <v>78</v>
      </c>
      <c r="J20" s="65">
        <v>102</v>
      </c>
      <c r="K20" s="71" t="s">
        <v>63</v>
      </c>
      <c r="L20" s="65">
        <v>2</v>
      </c>
      <c r="M20" s="65">
        <v>40</v>
      </c>
      <c r="N20" s="65">
        <v>80</v>
      </c>
    </row>
    <row r="21" spans="1:14" x14ac:dyDescent="0.25">
      <c r="A21" s="65" t="s">
        <v>41</v>
      </c>
      <c r="B21" s="65">
        <v>2</v>
      </c>
      <c r="C21" s="66">
        <v>3</v>
      </c>
      <c r="D21" s="67">
        <v>41960</v>
      </c>
      <c r="E21" s="68">
        <v>4</v>
      </c>
      <c r="F21" s="65" t="s">
        <v>69</v>
      </c>
      <c r="G21" s="65" t="s">
        <v>83</v>
      </c>
      <c r="H21" s="71" t="s">
        <v>73</v>
      </c>
      <c r="I21" s="71" t="s">
        <v>78</v>
      </c>
      <c r="J21" s="65">
        <v>101</v>
      </c>
      <c r="K21" s="71" t="s">
        <v>62</v>
      </c>
      <c r="L21" s="65">
        <v>2</v>
      </c>
      <c r="M21" s="65">
        <v>200</v>
      </c>
      <c r="N21" s="65">
        <v>400</v>
      </c>
    </row>
    <row r="22" spans="1:14" x14ac:dyDescent="0.25">
      <c r="A22" s="65" t="s">
        <v>40</v>
      </c>
      <c r="B22" s="65" t="s">
        <v>33</v>
      </c>
      <c r="C22" s="66">
        <v>3</v>
      </c>
      <c r="D22" s="67">
        <v>41960</v>
      </c>
      <c r="E22" s="68">
        <v>4</v>
      </c>
      <c r="F22" s="65" t="s">
        <v>69</v>
      </c>
      <c r="G22" s="65" t="s">
        <v>83</v>
      </c>
      <c r="H22" s="71" t="s">
        <v>73</v>
      </c>
      <c r="I22" s="71" t="s">
        <v>78</v>
      </c>
      <c r="J22" s="65">
        <v>100</v>
      </c>
      <c r="K22" s="71" t="s">
        <v>79</v>
      </c>
      <c r="L22" s="65">
        <v>2</v>
      </c>
      <c r="M22" s="65">
        <v>60</v>
      </c>
      <c r="N22" s="65">
        <v>120</v>
      </c>
    </row>
    <row r="23" spans="1:14" x14ac:dyDescent="0.25">
      <c r="A23" s="65" t="s">
        <v>38</v>
      </c>
      <c r="B23" s="65" t="s">
        <v>33</v>
      </c>
      <c r="C23" s="66">
        <v>2</v>
      </c>
      <c r="D23" s="67">
        <v>41960</v>
      </c>
      <c r="E23" s="68">
        <v>2</v>
      </c>
      <c r="F23" s="65" t="s">
        <v>67</v>
      </c>
      <c r="G23" s="71" t="s">
        <v>82</v>
      </c>
      <c r="H23" s="71" t="s">
        <v>73</v>
      </c>
      <c r="I23" s="71" t="s">
        <v>77</v>
      </c>
      <c r="J23" s="65">
        <v>100</v>
      </c>
      <c r="K23" s="71" t="s">
        <v>79</v>
      </c>
      <c r="L23" s="65">
        <v>1</v>
      </c>
      <c r="M23" s="65">
        <v>60</v>
      </c>
      <c r="N23" s="65">
        <v>60</v>
      </c>
    </row>
    <row r="24" spans="1:14" x14ac:dyDescent="0.25">
      <c r="A24" s="65" t="s">
        <v>37</v>
      </c>
      <c r="B24" s="65">
        <v>4</v>
      </c>
      <c r="C24" s="66">
        <v>1</v>
      </c>
      <c r="D24" s="67">
        <v>41960</v>
      </c>
      <c r="E24" s="68">
        <v>3</v>
      </c>
      <c r="F24" s="65" t="s">
        <v>68</v>
      </c>
      <c r="G24" s="65" t="s">
        <v>84</v>
      </c>
      <c r="H24" s="71" t="s">
        <v>72</v>
      </c>
      <c r="I24" s="71" t="s">
        <v>76</v>
      </c>
      <c r="J24" s="65">
        <v>100</v>
      </c>
      <c r="K24" s="71" t="s">
        <v>79</v>
      </c>
      <c r="L24" s="65">
        <v>4</v>
      </c>
      <c r="M24" s="65">
        <v>60</v>
      </c>
      <c r="N24" s="65">
        <v>240</v>
      </c>
    </row>
    <row r="25" spans="1:14" x14ac:dyDescent="0.25">
      <c r="A25" s="65" t="s">
        <v>36</v>
      </c>
      <c r="B25" s="65">
        <v>3</v>
      </c>
      <c r="C25" s="66">
        <v>1</v>
      </c>
      <c r="D25" s="67">
        <v>41960</v>
      </c>
      <c r="E25" s="68">
        <v>3</v>
      </c>
      <c r="F25" s="65" t="s">
        <v>68</v>
      </c>
      <c r="G25" s="65" t="s">
        <v>84</v>
      </c>
      <c r="H25" s="71" t="s">
        <v>72</v>
      </c>
      <c r="I25" s="71" t="s">
        <v>76</v>
      </c>
      <c r="J25" s="65">
        <v>102</v>
      </c>
      <c r="K25" s="71" t="s">
        <v>63</v>
      </c>
      <c r="L25" s="65">
        <v>2</v>
      </c>
      <c r="M25" s="65">
        <v>40</v>
      </c>
      <c r="N25" s="65">
        <v>80</v>
      </c>
    </row>
    <row r="26" spans="1:14" x14ac:dyDescent="0.25">
      <c r="A26" s="65" t="s">
        <v>35</v>
      </c>
      <c r="B26" s="65">
        <v>2</v>
      </c>
      <c r="C26" s="66">
        <v>1</v>
      </c>
      <c r="D26" s="67">
        <v>41960</v>
      </c>
      <c r="E26" s="68">
        <v>3</v>
      </c>
      <c r="F26" s="65" t="s">
        <v>68</v>
      </c>
      <c r="G26" s="65" t="s">
        <v>84</v>
      </c>
      <c r="H26" s="71" t="s">
        <v>72</v>
      </c>
      <c r="I26" s="71" t="s">
        <v>76</v>
      </c>
      <c r="J26" s="65">
        <v>100</v>
      </c>
      <c r="K26" s="71" t="s">
        <v>79</v>
      </c>
      <c r="L26" s="65">
        <v>1</v>
      </c>
      <c r="M26" s="65">
        <v>60</v>
      </c>
      <c r="N26" s="65">
        <v>60</v>
      </c>
    </row>
    <row r="27" spans="1:14" x14ac:dyDescent="0.25">
      <c r="A27" s="65" t="s">
        <v>34</v>
      </c>
      <c r="B27" s="65" t="s">
        <v>33</v>
      </c>
      <c r="C27" s="66">
        <v>1</v>
      </c>
      <c r="D27" s="67">
        <v>41955</v>
      </c>
      <c r="E27" s="68">
        <v>3</v>
      </c>
      <c r="F27" s="65" t="s">
        <v>68</v>
      </c>
      <c r="G27" s="65" t="s">
        <v>84</v>
      </c>
      <c r="H27" s="71" t="s">
        <v>72</v>
      </c>
      <c r="I27" s="71" t="s">
        <v>76</v>
      </c>
      <c r="J27" s="65">
        <v>102</v>
      </c>
      <c r="K27" s="71" t="s">
        <v>63</v>
      </c>
      <c r="L27" s="65">
        <v>2</v>
      </c>
      <c r="M27" s="65">
        <v>40</v>
      </c>
      <c r="N27" s="65">
        <v>80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GISTRAR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ACTURA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Registrar</vt:lpstr>
      <vt:lpstr>Factura</vt:lpstr>
      <vt:lpstr>Precios</vt:lpstr>
      <vt:lpstr>Clientes</vt:lpstr>
      <vt:lpstr>Registros</vt:lpstr>
      <vt:lpstr>Factura!Área_de_impresión</vt:lpstr>
      <vt:lpstr>PRECIO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Kiyosaki</dc:creator>
  <cp:lastModifiedBy>GODINEZ</cp:lastModifiedBy>
  <cp:lastPrinted>2015-05-10T05:25:43Z</cp:lastPrinted>
  <dcterms:created xsi:type="dcterms:W3CDTF">2014-11-11T17:54:10Z</dcterms:created>
  <dcterms:modified xsi:type="dcterms:W3CDTF">2017-04-21T02:49:38Z</dcterms:modified>
</cp:coreProperties>
</file>